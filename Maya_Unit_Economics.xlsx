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tie\projeto-saude\"/>
    </mc:Choice>
  </mc:AlternateContent>
  <bookViews>
    <workbookView xWindow="0" yWindow="0" windowWidth="23040" windowHeight="8556"/>
  </bookViews>
  <sheets>
    <sheet name="Resumo" sheetId="1" r:id="rId1"/>
    <sheet name="Custos" sheetId="2" r:id="rId2"/>
    <sheet name="Trafego_CAC" sheetId="3" r:id="rId3"/>
  </sheets>
  <calcPr calcId="162913"/>
</workbook>
</file>

<file path=xl/calcChain.xml><?xml version="1.0" encoding="utf-8"?>
<calcChain xmlns="http://schemas.openxmlformats.org/spreadsheetml/2006/main">
  <c r="B19" i="3" l="1"/>
  <c r="B9" i="3"/>
  <c r="B6" i="3"/>
  <c r="B5" i="3"/>
  <c r="B7" i="3" s="1"/>
  <c r="F19" i="2"/>
  <c r="F18" i="2"/>
  <c r="F17" i="2"/>
  <c r="F16" i="2"/>
  <c r="F15" i="2"/>
  <c r="F14" i="2"/>
  <c r="F13" i="2"/>
  <c r="F12" i="2"/>
  <c r="F11" i="2"/>
  <c r="F10" i="2"/>
  <c r="B21" i="2" s="1"/>
  <c r="B32" i="1"/>
  <c r="B23" i="1"/>
  <c r="B13" i="1"/>
  <c r="B10" i="1"/>
  <c r="B9" i="1"/>
  <c r="B23" i="2" l="1"/>
  <c r="B12" i="1"/>
  <c r="B20" i="1"/>
  <c r="B21" i="1" s="1"/>
  <c r="B18" i="1"/>
  <c r="B16" i="3"/>
  <c r="B17" i="3" s="1"/>
  <c r="B18" i="3" s="1"/>
  <c r="B20" i="3" s="1"/>
  <c r="B21" i="3" s="1"/>
  <c r="B22" i="1" l="1"/>
  <c r="B24" i="1" s="1"/>
  <c r="B8" i="3"/>
  <c r="B33" i="1"/>
  <c r="B34" i="1" s="1"/>
  <c r="B35" i="1" s="1"/>
  <c r="B19" i="1"/>
  <c r="B25" i="1"/>
  <c r="B10" i="3" l="1"/>
  <c r="B11" i="3" s="1"/>
  <c r="B12" i="3"/>
</calcChain>
</file>

<file path=xl/sharedStrings.xml><?xml version="1.0" encoding="utf-8"?>
<sst xmlns="http://schemas.openxmlformats.org/spreadsheetml/2006/main" count="104" uniqueCount="86">
  <si>
    <t>MAYA — Unit Economics &amp; Pricing</t>
  </si>
  <si>
    <t>Edite apenas as células amarelas (e o dropdown). Azul/verde = fórmulas, recalculam sozinhas. Valores em USD.</t>
  </si>
  <si>
    <t>ENTRADAS — edite aqui</t>
  </si>
  <si>
    <t>Preço mensal (USD)</t>
  </si>
  <si>
    <t>Preço anual (USD)</t>
  </si>
  <si>
    <t>Dias de trial grátis</t>
  </si>
  <si>
    <t>Canal de cobrança</t>
  </si>
  <si>
    <t>Web (Stripe)</t>
  </si>
  <si>
    <t>Taxa de pagamento (%)</t>
  </si>
  <si>
    <t>Taxa fixa por cobrança (USD)</t>
  </si>
  <si>
    <t>Churn mensal (%)</t>
  </si>
  <si>
    <t>Custo IA / usuário / mês (USD)</t>
  </si>
  <si>
    <t>Custo infra / usuário / mês (USD)</t>
  </si>
  <si>
    <t>CPI — custo por instalação (USD)</t>
  </si>
  <si>
    <t>Conversão signup → assinante (%)</t>
  </si>
  <si>
    <t>Web (Stripe) = 2,9% + US$0,30  •  Loja 30% = padrão Apple 1º ano  •  Loja 15% = Google assinatura / Apple Small Business (&lt;US$1M) / 2º ano. No app nativo a loja SUBSTITUI o Stripe.</t>
  </si>
  <si>
    <t>RESULTADOS</t>
  </si>
  <si>
    <t>Lucro bruto mensal (USD)</t>
  </si>
  <si>
    <t>Margem bruta mensal (%)</t>
  </si>
  <si>
    <t>Lucro bruto anual (USD)</t>
  </si>
  <si>
    <t>Margem bruta anual (%)</t>
  </si>
  <si>
    <t>LTV — lucro bruto (USD)</t>
  </si>
  <si>
    <t>CAC real (USD)</t>
  </si>
  <si>
    <t>LTV : CAC</t>
  </si>
  <si>
    <t>Payback (meses)</t>
  </si>
  <si>
    <t>LTV:CAC ≥ 3x é o saudável. Mesmo a 30% de taxa de loja o app segue lucrativo (2,3x); a 15% fica em ~3x.</t>
  </si>
  <si>
    <t>LUCRO LÍQUIDO (visão do negócio — preencha suas despesas)</t>
  </si>
  <si>
    <t>Assinantes ativos</t>
  </si>
  <si>
    <t>Despesas fixas/mês (USD)</t>
  </si>
  <si>
    <t>Verba de anúncios/mês (USD)</t>
  </si>
  <si>
    <t>Receita bruta/mês (USD)</t>
  </si>
  <si>
    <t>Lucro bruto total/mês (USD)</t>
  </si>
  <si>
    <t>Lucro LÍQUIDO/mês (USD)</t>
  </si>
  <si>
    <t>Margem líquida (%)</t>
  </si>
  <si>
    <t>Lucro bruto = sobra por usuário após IA+infra+taxa. Líquido = bruto total − despesas fixas − anúncios. No começo o líquido pode ficar negativo (você compra crescimento); o equilíbrio vem com escala.</t>
  </si>
  <si>
    <t>Custo de IA por usuário ativo (mensal)</t>
  </si>
  <si>
    <t>Modelos: Haiku 4.5 = $1/M in / $5/M out  •  Sonnet 5 = $3/M in / $15/M out (tarifa padrão, após 31/08/2026).</t>
  </si>
  <si>
    <t>Preço por milhão de tokens (USD)</t>
  </si>
  <si>
    <t>Modelo</t>
  </si>
  <si>
    <t>Input/M</t>
  </si>
  <si>
    <t>Output/M</t>
  </si>
  <si>
    <t>Haiku 4.5</t>
  </si>
  <si>
    <t>Sonnet 5</t>
  </si>
  <si>
    <t>Chamada LLM</t>
  </si>
  <si>
    <t>Tokens in</t>
  </si>
  <si>
    <t>Tokens out</t>
  </si>
  <si>
    <t>Chamadas/mês</t>
  </si>
  <si>
    <t>Custo/mês (USD)</t>
  </si>
  <si>
    <t>Nota</t>
  </si>
  <si>
    <t>Especialistas (8x batch)</t>
  </si>
  <si>
    <t>Dispara a cada check-in (8 esp. × ~30 check-ins)</t>
  </si>
  <si>
    <t>Mensagem da home</t>
  </si>
  <si>
    <t>Cache 1x/dia</t>
  </si>
  <si>
    <t>Nudge</t>
  </si>
  <si>
    <t>Cache/dia; pula se já conversou</t>
  </si>
  <si>
    <t>Chat Maya</t>
  </si>
  <si>
    <t>Por mensagem enviada</t>
  </si>
  <si>
    <t>Extração de fatos (chat)</t>
  </si>
  <si>
    <t>Fire-and-forget por mensagem</t>
  </si>
  <si>
    <t>Foto de refeição</t>
  </si>
  <si>
    <t>Visão; resolução maior</t>
  </si>
  <si>
    <t>Recibo (finanças)</t>
  </si>
  <si>
    <t>Visão</t>
  </si>
  <si>
    <t>Chats nutrição/metas/plano</t>
  </si>
  <si>
    <t>Sob demanda</t>
  </si>
  <si>
    <t>Reflexão semanal</t>
  </si>
  <si>
    <t>1x/semana</t>
  </si>
  <si>
    <t>Reflexão mensal</t>
  </si>
  <si>
    <t>1x/mês</t>
  </si>
  <si>
    <t>TOTAL LLM / usuário / mês (USD)</t>
  </si>
  <si>
    <t>Infra fixa (Supabase/Vercel/Mapbox/push) / mês (USD)</t>
  </si>
  <si>
    <t>COGS TOTAL / usuário / mês (USD)</t>
  </si>
  <si>
    <t>Cenários (edite a coluna 'Chamadas/mês'): usuário casual ~US$0,50-1,50  •  médio ~US$2-3  •  power user ~US$5-8.</t>
  </si>
  <si>
    <t>Tráfego pago — CAC, LTV e ROAS</t>
  </si>
  <si>
    <t>Benchmarks Meta Ads 2026 (BR/CL). Ajuste as células amarelas.</t>
  </si>
  <si>
    <t>FUNIL &amp; CAC</t>
  </si>
  <si>
    <t>CAC — custo por assinante (USD)</t>
  </si>
  <si>
    <t>SIMULAÇÃO DE ORÇAMENTO</t>
  </si>
  <si>
    <t>Orçamento diário (USD)</t>
  </si>
  <si>
    <t>Instalações / dia</t>
  </si>
  <si>
    <t>Assinantes / dia</t>
  </si>
  <si>
    <t>Assinantes / mês</t>
  </si>
  <si>
    <t>Gasto total / mês (USD)</t>
  </si>
  <si>
    <t>Receita bruta nova / mês (USD)</t>
  </si>
  <si>
    <t>ROAS do 1º mês</t>
  </si>
  <si>
    <t>Recomendação: começar com US$20-30/dia, 2-4 criativos (BR e CL separados). Escalar só os conjuntos com CAC ≤ US$20.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</si>
</sst>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&quot;$&quot;#,##0.00"/>
    <numFmt numFmtId="165" formatCode="0.0%"/>
    <numFmt numFmtId="166" formatCode="0.0&quot;x&quot;"/>
    <numFmt numFmtId="167" formatCode="0.0&quot;m&quot;"/>
    <numFmt numFmtId="168" formatCode="0.0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B4B9A"/>
      </patternFill>
    </fill>
    <fill>
      <patternFill patternType="solid">
        <fgColor rgb="FFEDE9F7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0" borderId="1" xfId="0" applyFont="1" applyBorder="1"/>
    <xf numFmtId="164" fontId="5" fillId="4" borderId="1" xfId="0" applyNumberFormat="1" applyFont="1" applyFill="1" applyBorder="1"/>
    <xf numFmtId="1" fontId="5" fillId="4" borderId="1" xfId="0" applyNumberFormat="1" applyFont="1" applyFill="1" applyBorder="1"/>
    <xf numFmtId="0" fontId="5" fillId="4" borderId="1" xfId="0" applyFont="1" applyFill="1" applyBorder="1"/>
    <xf numFmtId="165" fontId="5" fillId="5" borderId="1" xfId="0" applyNumberFormat="1" applyFont="1" applyFill="1" applyBorder="1"/>
    <xf numFmtId="164" fontId="5" fillId="5" borderId="1" xfId="0" applyNumberFormat="1" applyFont="1" applyFill="1" applyBorder="1"/>
    <xf numFmtId="165" fontId="5" fillId="4" borderId="1" xfId="0" applyNumberFormat="1" applyFont="1" applyFill="1" applyBorder="1"/>
    <xf numFmtId="166" fontId="5" fillId="5" borderId="1" xfId="0" applyNumberFormat="1" applyFont="1" applyFill="1" applyBorder="1"/>
    <xf numFmtId="167" fontId="5" fillId="5" borderId="1" xfId="0" applyNumberFormat="1" applyFont="1" applyFill="1" applyBorder="1"/>
    <xf numFmtId="0" fontId="2" fillId="0" borderId="1" xfId="0" applyFont="1" applyBorder="1"/>
    <xf numFmtId="0" fontId="5" fillId="0" borderId="1" xfId="0" applyFont="1" applyBorder="1"/>
    <xf numFmtId="164" fontId="5" fillId="6" borderId="1" xfId="0" applyNumberFormat="1" applyFont="1" applyFill="1" applyBorder="1"/>
    <xf numFmtId="1" fontId="4" fillId="0" borderId="1" xfId="0" applyNumberFormat="1" applyFont="1" applyBorder="1"/>
    <xf numFmtId="0" fontId="5" fillId="6" borderId="1" xfId="0" applyFont="1" applyFill="1" applyBorder="1"/>
    <xf numFmtId="168" fontId="5" fillId="5" borderId="1" xfId="0" applyNumberFormat="1" applyFont="1" applyFill="1" applyBorder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/>
    <xf numFmtId="0" fontId="3" fillId="3" borderId="0" xfId="0" applyFont="1" applyFill="1"/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5" fillId="3" borderId="0" xfId="0" applyFont="1" applyFill="1"/>
    <xf numFmtId="0" fontId="6" fillId="0" borderId="0" xfId="0" applyFont="1"/>
    <xf numFmtId="0" fontId="5" fillId="3" borderId="1" xfId="0" applyFont="1" applyFill="1" applyBorder="1"/>
    <xf numFmtId="0" fontId="6" fillId="0" borderId="2" xfId="0" applyFont="1" applyBorder="1"/>
    <xf numFmtId="0" fontId="6" fillId="0" borderId="3" xfId="0" applyFont="1" applyBorder="1"/>
    <xf numFmtId="0" fontId="5" fillId="5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showGridLines="0" tabSelected="1" topLeftCell="A13" workbookViewId="0">
      <selection activeCell="B33" sqref="B33"/>
    </sheetView>
  </sheetViews>
  <sheetFormatPr baseColWidth="10" defaultColWidth="8.88671875" defaultRowHeight="14.4" x14ac:dyDescent="0.3"/>
  <cols>
    <col min="1" max="1" width="34" customWidth="1"/>
    <col min="2" max="2" width="16" customWidth="1"/>
    <col min="3" max="6" width="14" customWidth="1"/>
  </cols>
  <sheetData>
    <row r="1" spans="1:6" ht="25.95" customHeight="1" x14ac:dyDescent="0.3">
      <c r="A1" s="23" t="s">
        <v>0</v>
      </c>
      <c r="B1" s="17"/>
      <c r="C1" s="17"/>
      <c r="D1" s="17"/>
      <c r="E1" s="17"/>
      <c r="F1" s="17"/>
    </row>
    <row r="2" spans="1:6" x14ac:dyDescent="0.3">
      <c r="A2" s="16" t="s">
        <v>1</v>
      </c>
      <c r="B2" s="17"/>
      <c r="C2" s="17"/>
      <c r="D2" s="17"/>
      <c r="E2" s="17"/>
      <c r="F2" s="17"/>
    </row>
    <row r="4" spans="1:6" x14ac:dyDescent="0.3">
      <c r="A4" s="25" t="s">
        <v>2</v>
      </c>
      <c r="B4" s="26"/>
      <c r="C4" s="26"/>
      <c r="D4" s="26"/>
      <c r="E4" s="26"/>
      <c r="F4" s="26"/>
    </row>
    <row r="5" spans="1:6" x14ac:dyDescent="0.3">
      <c r="A5" s="1" t="s">
        <v>3</v>
      </c>
      <c r="B5" s="2">
        <v>9.99</v>
      </c>
    </row>
    <row r="6" spans="1:6" x14ac:dyDescent="0.3">
      <c r="A6" s="1" t="s">
        <v>4</v>
      </c>
      <c r="B6" s="2">
        <v>83.99</v>
      </c>
    </row>
    <row r="7" spans="1:6" x14ac:dyDescent="0.3">
      <c r="A7" s="1" t="s">
        <v>5</v>
      </c>
      <c r="B7" s="3">
        <v>7</v>
      </c>
    </row>
    <row r="8" spans="1:6" x14ac:dyDescent="0.3">
      <c r="A8" s="1" t="s">
        <v>6</v>
      </c>
      <c r="B8" s="4" t="s">
        <v>7</v>
      </c>
    </row>
    <row r="9" spans="1:6" x14ac:dyDescent="0.3">
      <c r="A9" s="1" t="s">
        <v>8</v>
      </c>
      <c r="B9" s="5">
        <f>IF(B8="Web (Stripe)",0.029,IF(B8="App Store/Play - 30%",0.3,0.15))</f>
        <v>2.9000000000000001E-2</v>
      </c>
    </row>
    <row r="10" spans="1:6" x14ac:dyDescent="0.3">
      <c r="A10" s="1" t="s">
        <v>9</v>
      </c>
      <c r="B10" s="6">
        <f>IF(B8="Web (Stripe)",0.3,0)</f>
        <v>0.3</v>
      </c>
    </row>
    <row r="11" spans="1:6" x14ac:dyDescent="0.3">
      <c r="A11" s="1" t="s">
        <v>10</v>
      </c>
      <c r="B11" s="7">
        <v>0.1</v>
      </c>
    </row>
    <row r="12" spans="1:6" x14ac:dyDescent="0.3">
      <c r="A12" s="1" t="s">
        <v>11</v>
      </c>
      <c r="B12" s="6">
        <f>Custos!B21</f>
        <v>2.2504999999999997</v>
      </c>
    </row>
    <row r="13" spans="1:6" x14ac:dyDescent="0.3">
      <c r="A13" s="1" t="s">
        <v>12</v>
      </c>
      <c r="B13" s="6">
        <f>Custos!B22</f>
        <v>0.1</v>
      </c>
    </row>
    <row r="14" spans="1:6" x14ac:dyDescent="0.3">
      <c r="A14" s="1" t="s">
        <v>13</v>
      </c>
      <c r="B14" s="2">
        <v>2</v>
      </c>
    </row>
    <row r="15" spans="1:6" x14ac:dyDescent="0.3">
      <c r="A15" s="1" t="s">
        <v>14</v>
      </c>
      <c r="B15" s="7">
        <v>0.1</v>
      </c>
    </row>
    <row r="16" spans="1:6" x14ac:dyDescent="0.3">
      <c r="A16" s="18" t="s">
        <v>15</v>
      </c>
      <c r="B16" s="17"/>
      <c r="C16" s="17"/>
      <c r="D16" s="17"/>
      <c r="E16" s="17"/>
      <c r="F16" s="17"/>
    </row>
    <row r="17" spans="1:6" x14ac:dyDescent="0.3">
      <c r="A17" s="25" t="s">
        <v>16</v>
      </c>
      <c r="B17" s="26"/>
      <c r="C17" s="26"/>
      <c r="D17" s="26"/>
      <c r="E17" s="26"/>
      <c r="F17" s="26"/>
    </row>
    <row r="18" spans="1:6" x14ac:dyDescent="0.3">
      <c r="A18" s="1" t="s">
        <v>17</v>
      </c>
      <c r="B18" s="6">
        <f>B5*(1-B9)-B10-B12-B13</f>
        <v>7.0497900000000007</v>
      </c>
    </row>
    <row r="19" spans="1:6" x14ac:dyDescent="0.3">
      <c r="A19" s="1" t="s">
        <v>18</v>
      </c>
      <c r="B19" s="5">
        <f>B18/B5</f>
        <v>0.7056846846846847</v>
      </c>
    </row>
    <row r="20" spans="1:6" x14ac:dyDescent="0.3">
      <c r="A20" s="1" t="s">
        <v>19</v>
      </c>
      <c r="B20" s="6">
        <f>B6*(1-B9)-B10-(B12+B13)*12</f>
        <v>53.048290000000001</v>
      </c>
    </row>
    <row r="21" spans="1:6" x14ac:dyDescent="0.3">
      <c r="A21" s="1" t="s">
        <v>20</v>
      </c>
      <c r="B21" s="5">
        <f>B20/B6</f>
        <v>0.63160245267293735</v>
      </c>
    </row>
    <row r="22" spans="1:6" x14ac:dyDescent="0.3">
      <c r="A22" s="1" t="s">
        <v>21</v>
      </c>
      <c r="B22" s="6">
        <f>B18/B11</f>
        <v>70.497900000000001</v>
      </c>
    </row>
    <row r="23" spans="1:6" x14ac:dyDescent="0.3">
      <c r="A23" s="1" t="s">
        <v>22</v>
      </c>
      <c r="B23" s="6">
        <f>B14/B15</f>
        <v>20</v>
      </c>
    </row>
    <row r="24" spans="1:6" x14ac:dyDescent="0.3">
      <c r="A24" s="1" t="s">
        <v>23</v>
      </c>
      <c r="B24" s="8">
        <f>B22/B23</f>
        <v>3.5248949999999999</v>
      </c>
    </row>
    <row r="25" spans="1:6" x14ac:dyDescent="0.3">
      <c r="A25" s="1" t="s">
        <v>24</v>
      </c>
      <c r="B25" s="9">
        <f>B23/B18</f>
        <v>2.8369639379329028</v>
      </c>
    </row>
    <row r="26" spans="1:6" x14ac:dyDescent="0.3">
      <c r="A26" s="20" t="s">
        <v>25</v>
      </c>
      <c r="B26" s="21"/>
      <c r="C26" s="21"/>
      <c r="D26" s="21"/>
      <c r="E26" s="21"/>
      <c r="F26" s="22"/>
    </row>
    <row r="28" spans="1:6" x14ac:dyDescent="0.3">
      <c r="A28" s="25" t="s">
        <v>26</v>
      </c>
      <c r="B28" s="26"/>
      <c r="C28" s="26"/>
      <c r="D28" s="26"/>
      <c r="E28" s="26"/>
      <c r="F28" s="26"/>
    </row>
    <row r="29" spans="1:6" x14ac:dyDescent="0.3">
      <c r="A29" s="1" t="s">
        <v>27</v>
      </c>
      <c r="B29" s="3">
        <v>100</v>
      </c>
    </row>
    <row r="30" spans="1:6" x14ac:dyDescent="0.3">
      <c r="A30" s="1" t="s">
        <v>28</v>
      </c>
      <c r="B30" s="2">
        <v>200</v>
      </c>
    </row>
    <row r="31" spans="1:6" x14ac:dyDescent="0.3">
      <c r="A31" s="1" t="s">
        <v>29</v>
      </c>
      <c r="B31" s="2">
        <v>0</v>
      </c>
    </row>
    <row r="32" spans="1:6" x14ac:dyDescent="0.3">
      <c r="A32" s="1" t="s">
        <v>30</v>
      </c>
      <c r="B32" s="6">
        <f>B29*B5</f>
        <v>999</v>
      </c>
    </row>
    <row r="33" spans="1:6" x14ac:dyDescent="0.3">
      <c r="A33" s="1" t="s">
        <v>31</v>
      </c>
      <c r="B33" s="6">
        <f>B29*B18</f>
        <v>704.97900000000004</v>
      </c>
    </row>
    <row r="34" spans="1:6" x14ac:dyDescent="0.3">
      <c r="A34" s="11" t="s">
        <v>32</v>
      </c>
      <c r="B34" s="12">
        <f>B33-B30-B31</f>
        <v>504.97900000000004</v>
      </c>
    </row>
    <row r="35" spans="1:6" x14ac:dyDescent="0.3">
      <c r="A35" s="1" t="s">
        <v>33</v>
      </c>
      <c r="B35" s="5">
        <f>B34/B32</f>
        <v>0.50548448448448458</v>
      </c>
    </row>
    <row r="36" spans="1:6" x14ac:dyDescent="0.3">
      <c r="A36" s="20" t="s">
        <v>34</v>
      </c>
      <c r="B36" s="21"/>
      <c r="C36" s="21"/>
      <c r="D36" s="21"/>
      <c r="E36" s="21"/>
      <c r="F36" s="22"/>
    </row>
  </sheetData>
  <mergeCells count="8">
    <mergeCell ref="A2:F2"/>
    <mergeCell ref="A16:F16"/>
    <mergeCell ref="A28:F28"/>
    <mergeCell ref="A36:F36"/>
    <mergeCell ref="A1:F1"/>
    <mergeCell ref="A17:F17"/>
    <mergeCell ref="A4:F4"/>
    <mergeCell ref="A26:F26"/>
  </mergeCells>
  <dataValidations count="1">
    <dataValidation type="list" allowBlank="1" error="Escolha uma das opções da lista" prompt="Escolha o canal de cobrança" sqref="B8">
      <formula1>"Web (Stripe),App Store/Play - 30%,App Store/Play - 15%"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showGridLines="0" workbookViewId="0">
      <selection activeCell="F21" sqref="F21"/>
    </sheetView>
  </sheetViews>
  <sheetFormatPr baseColWidth="10" defaultColWidth="8.88671875" defaultRowHeight="14.4" x14ac:dyDescent="0.3"/>
  <cols>
    <col min="1" max="1" width="46.109375" bestFit="1" customWidth="1"/>
    <col min="2" max="4" width="12" customWidth="1"/>
    <col min="5" max="5" width="14" customWidth="1"/>
    <col min="6" max="6" width="18" customWidth="1"/>
    <col min="7" max="7" width="44" customWidth="1"/>
  </cols>
  <sheetData>
    <row r="1" spans="1:7" ht="18" x14ac:dyDescent="0.35">
      <c r="A1" s="24" t="s">
        <v>35</v>
      </c>
      <c r="B1" s="17"/>
      <c r="C1" s="17"/>
      <c r="D1" s="17"/>
      <c r="E1" s="17"/>
      <c r="F1" s="17"/>
      <c r="G1" s="17"/>
    </row>
    <row r="2" spans="1:7" x14ac:dyDescent="0.3">
      <c r="A2" s="18" t="s">
        <v>36</v>
      </c>
      <c r="B2" s="17"/>
      <c r="C2" s="17"/>
      <c r="D2" s="17"/>
      <c r="E2" s="17"/>
      <c r="F2" s="17"/>
      <c r="G2" s="17"/>
    </row>
    <row r="4" spans="1:7" x14ac:dyDescent="0.3">
      <c r="A4" s="27" t="s">
        <v>37</v>
      </c>
      <c r="B4" s="28"/>
      <c r="C4" s="28"/>
      <c r="D4" s="28"/>
      <c r="E4" s="28"/>
      <c r="F4" s="28"/>
      <c r="G4" s="29"/>
    </row>
    <row r="5" spans="1:7" x14ac:dyDescent="0.3">
      <c r="A5" s="30" t="s">
        <v>38</v>
      </c>
      <c r="B5" s="30" t="s">
        <v>39</v>
      </c>
      <c r="C5" s="30" t="s">
        <v>40</v>
      </c>
    </row>
    <row r="6" spans="1:7" x14ac:dyDescent="0.3">
      <c r="A6" s="4" t="s">
        <v>41</v>
      </c>
      <c r="B6" s="2">
        <v>1</v>
      </c>
      <c r="C6" s="2">
        <v>5</v>
      </c>
    </row>
    <row r="7" spans="1:7" x14ac:dyDescent="0.3">
      <c r="A7" s="4" t="s">
        <v>42</v>
      </c>
      <c r="B7" s="2">
        <v>3</v>
      </c>
      <c r="C7" s="2">
        <v>15</v>
      </c>
    </row>
    <row r="9" spans="1:7" x14ac:dyDescent="0.3">
      <c r="A9" s="30" t="s">
        <v>43</v>
      </c>
      <c r="B9" s="30" t="s">
        <v>38</v>
      </c>
      <c r="C9" s="30" t="s">
        <v>44</v>
      </c>
      <c r="D9" s="30" t="s">
        <v>45</v>
      </c>
      <c r="E9" s="30" t="s">
        <v>46</v>
      </c>
      <c r="F9" s="30" t="s">
        <v>47</v>
      </c>
      <c r="G9" s="30" t="s">
        <v>48</v>
      </c>
    </row>
    <row r="10" spans="1:7" x14ac:dyDescent="0.3">
      <c r="A10" s="1" t="s">
        <v>49</v>
      </c>
      <c r="B10" s="1" t="s">
        <v>41</v>
      </c>
      <c r="C10" s="13">
        <v>3000</v>
      </c>
      <c r="D10" s="13">
        <v>350</v>
      </c>
      <c r="E10" s="3">
        <v>240</v>
      </c>
      <c r="F10" s="6">
        <f t="shared" ref="F10:F19" si="0">E10*(C10/1000000*VLOOKUP(B10,$A$6:$C$7,2,0)+D10/1000000*VLOOKUP(B10,$A$6:$C$7,3,0))</f>
        <v>1.1399999999999999</v>
      </c>
      <c r="G10" s="10" t="s">
        <v>50</v>
      </c>
    </row>
    <row r="11" spans="1:7" x14ac:dyDescent="0.3">
      <c r="A11" s="1" t="s">
        <v>51</v>
      </c>
      <c r="B11" s="1" t="s">
        <v>41</v>
      </c>
      <c r="C11" s="13">
        <v>3000</v>
      </c>
      <c r="D11" s="13">
        <v>150</v>
      </c>
      <c r="E11" s="3">
        <v>30</v>
      </c>
      <c r="F11" s="6">
        <f t="shared" si="0"/>
        <v>0.11249999999999999</v>
      </c>
      <c r="G11" s="10" t="s">
        <v>52</v>
      </c>
    </row>
    <row r="12" spans="1:7" x14ac:dyDescent="0.3">
      <c r="A12" s="1" t="s">
        <v>53</v>
      </c>
      <c r="B12" s="1" t="s">
        <v>41</v>
      </c>
      <c r="C12" s="13">
        <v>3000</v>
      </c>
      <c r="D12" s="13">
        <v>120</v>
      </c>
      <c r="E12" s="3">
        <v>15</v>
      </c>
      <c r="F12" s="6">
        <f t="shared" si="0"/>
        <v>5.3999999999999999E-2</v>
      </c>
      <c r="G12" s="10" t="s">
        <v>54</v>
      </c>
    </row>
    <row r="13" spans="1:7" x14ac:dyDescent="0.3">
      <c r="A13" s="1" t="s">
        <v>55</v>
      </c>
      <c r="B13" s="1" t="s">
        <v>41</v>
      </c>
      <c r="C13" s="13">
        <v>3000</v>
      </c>
      <c r="D13" s="13">
        <v>400</v>
      </c>
      <c r="E13" s="3">
        <v>60</v>
      </c>
      <c r="F13" s="6">
        <f t="shared" si="0"/>
        <v>0.3</v>
      </c>
      <c r="G13" s="10" t="s">
        <v>56</v>
      </c>
    </row>
    <row r="14" spans="1:7" x14ac:dyDescent="0.3">
      <c r="A14" s="1" t="s">
        <v>57</v>
      </c>
      <c r="B14" s="1" t="s">
        <v>41</v>
      </c>
      <c r="C14" s="13">
        <v>1000</v>
      </c>
      <c r="D14" s="13">
        <v>150</v>
      </c>
      <c r="E14" s="3">
        <v>60</v>
      </c>
      <c r="F14" s="6">
        <f t="shared" si="0"/>
        <v>0.10499999999999998</v>
      </c>
      <c r="G14" s="10" t="s">
        <v>58</v>
      </c>
    </row>
    <row r="15" spans="1:7" x14ac:dyDescent="0.3">
      <c r="A15" s="1" t="s">
        <v>59</v>
      </c>
      <c r="B15" s="1" t="s">
        <v>42</v>
      </c>
      <c r="C15" s="13">
        <v>1500</v>
      </c>
      <c r="D15" s="13">
        <v>2000</v>
      </c>
      <c r="E15" s="3">
        <v>12</v>
      </c>
      <c r="F15" s="6">
        <f t="shared" si="0"/>
        <v>0.41400000000000003</v>
      </c>
      <c r="G15" s="10" t="s">
        <v>60</v>
      </c>
    </row>
    <row r="16" spans="1:7" x14ac:dyDescent="0.3">
      <c r="A16" s="1" t="s">
        <v>61</v>
      </c>
      <c r="B16" s="1" t="s">
        <v>41</v>
      </c>
      <c r="C16" s="13">
        <v>1500</v>
      </c>
      <c r="D16" s="13">
        <v>1200</v>
      </c>
      <c r="E16" s="3">
        <v>4</v>
      </c>
      <c r="F16" s="6">
        <f t="shared" si="0"/>
        <v>0.03</v>
      </c>
      <c r="G16" s="10" t="s">
        <v>62</v>
      </c>
    </row>
    <row r="17" spans="1:7" x14ac:dyDescent="0.3">
      <c r="A17" s="1" t="s">
        <v>63</v>
      </c>
      <c r="B17" s="1" t="s">
        <v>41</v>
      </c>
      <c r="C17" s="13">
        <v>2000</v>
      </c>
      <c r="D17" s="13">
        <v>500</v>
      </c>
      <c r="E17" s="3">
        <v>15</v>
      </c>
      <c r="F17" s="6">
        <f t="shared" si="0"/>
        <v>6.7500000000000004E-2</v>
      </c>
      <c r="G17" s="10" t="s">
        <v>64</v>
      </c>
    </row>
    <row r="18" spans="1:7" x14ac:dyDescent="0.3">
      <c r="A18" s="1" t="s">
        <v>65</v>
      </c>
      <c r="B18" s="1" t="s">
        <v>41</v>
      </c>
      <c r="C18" s="13">
        <v>2500</v>
      </c>
      <c r="D18" s="13">
        <v>600</v>
      </c>
      <c r="E18" s="3">
        <v>4</v>
      </c>
      <c r="F18" s="6">
        <f t="shared" si="0"/>
        <v>2.1999999999999999E-2</v>
      </c>
      <c r="G18" s="10" t="s">
        <v>66</v>
      </c>
    </row>
    <row r="19" spans="1:7" x14ac:dyDescent="0.3">
      <c r="A19" s="1" t="s">
        <v>67</v>
      </c>
      <c r="B19" s="1" t="s">
        <v>41</v>
      </c>
      <c r="C19" s="13">
        <v>3000</v>
      </c>
      <c r="D19" s="13">
        <v>500</v>
      </c>
      <c r="E19" s="3">
        <v>1</v>
      </c>
      <c r="F19" s="6">
        <f t="shared" si="0"/>
        <v>5.4999999999999997E-3</v>
      </c>
      <c r="G19" s="10" t="s">
        <v>68</v>
      </c>
    </row>
    <row r="21" spans="1:7" x14ac:dyDescent="0.3">
      <c r="A21" s="14" t="s">
        <v>69</v>
      </c>
      <c r="B21" s="12">
        <f>SUM(F10:F19)</f>
        <v>2.2504999999999997</v>
      </c>
    </row>
    <row r="22" spans="1:7" x14ac:dyDescent="0.3">
      <c r="A22" s="1" t="s">
        <v>70</v>
      </c>
      <c r="B22" s="2">
        <v>0.1</v>
      </c>
    </row>
    <row r="23" spans="1:7" x14ac:dyDescent="0.3">
      <c r="A23" s="14" t="s">
        <v>71</v>
      </c>
      <c r="B23" s="12">
        <f>B21+B22</f>
        <v>2.3504999999999998</v>
      </c>
    </row>
    <row r="25" spans="1:7" x14ac:dyDescent="0.3">
      <c r="A25" s="20" t="s">
        <v>72</v>
      </c>
      <c r="B25" s="21"/>
      <c r="C25" s="21"/>
      <c r="D25" s="21"/>
      <c r="E25" s="21"/>
      <c r="F25" s="21"/>
      <c r="G25" s="22"/>
    </row>
  </sheetData>
  <mergeCells count="4">
    <mergeCell ref="A2:G2"/>
    <mergeCell ref="A1:G1"/>
    <mergeCell ref="A25:G25"/>
    <mergeCell ref="A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showGridLines="0" workbookViewId="0"/>
  </sheetViews>
  <sheetFormatPr baseColWidth="10" defaultColWidth="8.88671875" defaultRowHeight="14.4" x14ac:dyDescent="0.3"/>
  <cols>
    <col min="1" max="1" width="34" customWidth="1"/>
    <col min="2" max="2" width="16" customWidth="1"/>
    <col min="3" max="6" width="14" customWidth="1"/>
  </cols>
  <sheetData>
    <row r="1" spans="1:6" ht="18" x14ac:dyDescent="0.35">
      <c r="A1" s="24" t="s">
        <v>73</v>
      </c>
      <c r="B1" s="17"/>
      <c r="C1" s="17"/>
      <c r="D1" s="17"/>
      <c r="E1" s="17"/>
      <c r="F1" s="17"/>
    </row>
    <row r="2" spans="1:6" x14ac:dyDescent="0.3">
      <c r="A2" s="18" t="s">
        <v>74</v>
      </c>
      <c r="B2" s="17"/>
      <c r="C2" s="17"/>
      <c r="D2" s="17"/>
      <c r="E2" s="17"/>
      <c r="F2" s="17"/>
    </row>
    <row r="4" spans="1:6" x14ac:dyDescent="0.3">
      <c r="A4" s="19" t="s">
        <v>75</v>
      </c>
      <c r="B4" s="17"/>
      <c r="C4" s="17"/>
      <c r="D4" s="17"/>
      <c r="E4" s="17"/>
      <c r="F4" s="17"/>
    </row>
    <row r="5" spans="1:6" x14ac:dyDescent="0.3">
      <c r="A5" s="1" t="s">
        <v>13</v>
      </c>
      <c r="B5" s="6">
        <f>Resumo!B14</f>
        <v>2</v>
      </c>
    </row>
    <row r="6" spans="1:6" x14ac:dyDescent="0.3">
      <c r="A6" s="1" t="s">
        <v>14</v>
      </c>
      <c r="B6" s="5">
        <f>Resumo!B15</f>
        <v>0.1</v>
      </c>
    </row>
    <row r="7" spans="1:6" x14ac:dyDescent="0.3">
      <c r="A7" s="1" t="s">
        <v>76</v>
      </c>
      <c r="B7" s="6">
        <f>B5/B6</f>
        <v>20</v>
      </c>
    </row>
    <row r="8" spans="1:6" x14ac:dyDescent="0.3">
      <c r="A8" s="1" t="s">
        <v>17</v>
      </c>
      <c r="B8" s="6">
        <f>Resumo!B18</f>
        <v>7.0497900000000007</v>
      </c>
    </row>
    <row r="9" spans="1:6" x14ac:dyDescent="0.3">
      <c r="A9" s="1" t="s">
        <v>10</v>
      </c>
      <c r="B9" s="5">
        <f>Resumo!B11</f>
        <v>0.1</v>
      </c>
    </row>
    <row r="10" spans="1:6" x14ac:dyDescent="0.3">
      <c r="A10" s="1" t="s">
        <v>21</v>
      </c>
      <c r="B10" s="6">
        <f>B8/B9</f>
        <v>70.497900000000001</v>
      </c>
    </row>
    <row r="11" spans="1:6" x14ac:dyDescent="0.3">
      <c r="A11" s="1" t="s">
        <v>23</v>
      </c>
      <c r="B11" s="8">
        <f>B10/B7</f>
        <v>3.5248949999999999</v>
      </c>
    </row>
    <row r="12" spans="1:6" x14ac:dyDescent="0.3">
      <c r="A12" s="1" t="s">
        <v>24</v>
      </c>
      <c r="B12" s="9">
        <f>B7/B8</f>
        <v>2.8369639379329028</v>
      </c>
    </row>
    <row r="14" spans="1:6" x14ac:dyDescent="0.3">
      <c r="A14" s="19" t="s">
        <v>77</v>
      </c>
      <c r="B14" s="17"/>
      <c r="C14" s="17"/>
      <c r="D14" s="17"/>
      <c r="E14" s="17"/>
      <c r="F14" s="17"/>
    </row>
    <row r="15" spans="1:6" x14ac:dyDescent="0.3">
      <c r="A15" s="1" t="s">
        <v>78</v>
      </c>
      <c r="B15" s="2">
        <v>30</v>
      </c>
    </row>
    <row r="16" spans="1:6" x14ac:dyDescent="0.3">
      <c r="A16" s="1" t="s">
        <v>79</v>
      </c>
      <c r="B16" s="15">
        <f>B15/B5</f>
        <v>15</v>
      </c>
    </row>
    <row r="17" spans="1:6" x14ac:dyDescent="0.3">
      <c r="A17" s="1" t="s">
        <v>80</v>
      </c>
      <c r="B17" s="15">
        <f>B16*B6</f>
        <v>1.5</v>
      </c>
    </row>
    <row r="18" spans="1:6" x14ac:dyDescent="0.3">
      <c r="A18" s="1" t="s">
        <v>81</v>
      </c>
      <c r="B18" s="15">
        <f>B17*30</f>
        <v>45</v>
      </c>
    </row>
    <row r="19" spans="1:6" x14ac:dyDescent="0.3">
      <c r="A19" s="1" t="s">
        <v>82</v>
      </c>
      <c r="B19" s="6">
        <f>B15*30</f>
        <v>900</v>
      </c>
    </row>
    <row r="20" spans="1:6" x14ac:dyDescent="0.3">
      <c r="A20" s="1" t="s">
        <v>83</v>
      </c>
      <c r="B20" s="6">
        <f>B18*Resumo!B5</f>
        <v>449.55</v>
      </c>
    </row>
    <row r="21" spans="1:6" x14ac:dyDescent="0.3">
      <c r="A21" s="1" t="s">
        <v>84</v>
      </c>
      <c r="B21" s="8">
        <f>B20/B19</f>
        <v>0.4995</v>
      </c>
    </row>
    <row r="23" spans="1:6" x14ac:dyDescent="0.3">
      <c r="A23" s="20" t="s">
        <v>85</v>
      </c>
      <c r="B23" s="21"/>
      <c r="C23" s="21"/>
      <c r="D23" s="21"/>
      <c r="E23" s="21"/>
      <c r="F23" s="22"/>
    </row>
  </sheetData>
  <mergeCells count="5">
    <mergeCell ref="A2:F2"/>
    <mergeCell ref="A14:F14"/>
    <mergeCell ref="A1:F1"/>
    <mergeCell ref="A23:F23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Resumo</vt:lpstr>
      <vt:lpstr>Custos</vt:lpstr>
      <vt:lpstr>Trafego_CAC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Letierre Ferraz Rodrigues</cp:lastModifiedBy>
  <dcterms:created xsi:type="dcterms:W3CDTF">2026-08-26T16:46:42Z</dcterms:created>
  <dcterms:modified xsi:type="dcterms:W3CDTF">2026-08-26T18:59:08Z</dcterms:modified>
</cp:coreProperties>
</file>