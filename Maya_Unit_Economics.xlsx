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3040" windowHeight="8556" tabRatio="600" firstSheet="0" activeTab="0" autoFilterDateGrouping="1"/>
  </bookViews>
  <sheets>
    <sheet name="Resumo" sheetId="1" state="visible" r:id="rId1"/>
    <sheet name="Custos" sheetId="2" state="visible" r:id="rId2"/>
    <sheet name="Trafego_CAC" sheetId="3" state="visible" r:id="rId3"/>
    <sheet name="Sociedade" sheetId="4" state="visible" r:id="rId4"/>
  </sheets>
  <definedNames/>
  <calcPr calcId="162913" fullCalcOnLoad="1"/>
</workbook>
</file>

<file path=xl/styles.xml><?xml version="1.0" encoding="utf-8"?>
<styleSheet xmlns="http://schemas.openxmlformats.org/spreadsheetml/2006/main">
  <numFmts count="6">
    <numFmt numFmtId="164" formatCode="&quot;$&quot;#,##0.00"/>
    <numFmt numFmtId="165" formatCode="0.0%"/>
    <numFmt numFmtId="166" formatCode="0.0&quot;x&quot;"/>
    <numFmt numFmtId="167" formatCode="0.0&quot;m&quot;"/>
    <numFmt numFmtId="168" formatCode="0.0"/>
    <numFmt numFmtId="169" formatCode="&quot;R$&quot; #,##0.00"/>
  </numFmts>
  <fonts count="10">
    <font>
      <name val="Calibri"/>
      <family val="2"/>
      <color theme="1"/>
      <sz val="11"/>
      <scheme val="minor"/>
    </font>
    <font>
      <name val="Calibri"/>
      <family val="2"/>
      <b val="1"/>
      <color rgb="FFFFFFFF"/>
      <sz val="14"/>
    </font>
    <font>
      <name val="Calibri"/>
      <family val="2"/>
      <i val="1"/>
      <color rgb="FF666666"/>
      <sz val="9"/>
    </font>
    <font>
      <name val="Calibri"/>
      <family val="2"/>
      <b val="1"/>
      <color rgb="FFFFFFFF"/>
      <sz val="11"/>
    </font>
    <font>
      <name val="Calibri"/>
      <family val="2"/>
      <sz val="11"/>
    </font>
    <font>
      <name val="Calibri"/>
      <family val="2"/>
      <b val="1"/>
      <sz val="11"/>
    </font>
    <font>
      <name val="Calibri"/>
      <family val="2"/>
      <sz val="11"/>
      <scheme val="minor"/>
    </font>
    <font>
      <b val="1"/>
      <sz val="12"/>
    </font>
    <font>
      <i val="1"/>
      <color rgb="00808080"/>
      <sz val="9"/>
    </font>
    <font>
      <b val="1"/>
    </font>
  </fonts>
  <fills count="9">
    <fill>
      <patternFill/>
    </fill>
    <fill>
      <patternFill patternType="gray125"/>
    </fill>
    <fill>
      <patternFill patternType="solid">
        <fgColor rgb="FF5B4B9A"/>
      </patternFill>
    </fill>
    <fill>
      <patternFill patternType="solid">
        <fgColor rgb="FFEDE9F7"/>
      </patternFill>
    </fill>
    <fill>
      <patternFill patternType="solid">
        <fgColor rgb="FFFFF2CC"/>
      </patternFill>
    </fill>
    <fill>
      <patternFill patternType="solid">
        <fgColor rgb="FFDDEBF7"/>
      </patternFill>
    </fill>
    <fill>
      <patternFill patternType="solid">
        <fgColor rgb="FFE2EFDA"/>
      </patternFill>
    </fill>
    <fill>
      <patternFill patternType="solid">
        <fgColor rgb="00FFF2CC"/>
      </patternFill>
    </fill>
    <fill>
      <patternFill patternType="solid">
        <fgColor rgb="00E2EFDA"/>
      </patternFill>
    </fill>
  </fills>
  <borders count="6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/>
      <top style="thin">
        <color rgb="FFBFBFBF"/>
      </top>
      <bottom style="thin">
        <color rgb="FFBFBFBF"/>
      </bottom>
      <diagonal/>
    </border>
    <border>
      <left/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/>
      <top style="thin">
        <color rgb="FFBFBFBF"/>
      </top>
      <bottom/>
      <diagonal/>
    </border>
    <border>
      <left/>
      <right style="thin">
        <color rgb="FFBFBFBF"/>
      </right>
      <top style="thin">
        <color rgb="FFBFBFBF"/>
      </top>
      <bottom/>
      <diagonal/>
    </border>
  </borders>
  <cellStyleXfs count="1">
    <xf numFmtId="0" fontId="0" fillId="0" borderId="0"/>
  </cellStyleXfs>
  <cellXfs count="42">
    <xf numFmtId="0" fontId="0" fillId="0" borderId="0" pivotButton="0" quotePrefix="0" xfId="0"/>
    <xf numFmtId="0" fontId="4" fillId="0" borderId="1" pivotButton="0" quotePrefix="0" xfId="0"/>
    <xf numFmtId="164" fontId="5" fillId="4" borderId="1" pivotButton="0" quotePrefix="0" xfId="0"/>
    <xf numFmtId="1" fontId="5" fillId="4" borderId="1" pivotButton="0" quotePrefix="0" xfId="0"/>
    <xf numFmtId="0" fontId="5" fillId="4" borderId="1" pivotButton="0" quotePrefix="0" xfId="0"/>
    <xf numFmtId="165" fontId="5" fillId="5" borderId="1" pivotButton="0" quotePrefix="0" xfId="0"/>
    <xf numFmtId="164" fontId="5" fillId="5" borderId="1" pivotButton="0" quotePrefix="0" xfId="0"/>
    <xf numFmtId="165" fontId="5" fillId="4" borderId="1" pivotButton="0" quotePrefix="0" xfId="0"/>
    <xf numFmtId="166" fontId="5" fillId="5" borderId="1" pivotButton="0" quotePrefix="0" xfId="0"/>
    <xf numFmtId="167" fontId="5" fillId="5" borderId="1" pivotButton="0" quotePrefix="0" xfId="0"/>
    <xf numFmtId="0" fontId="2" fillId="0" borderId="1" pivotButton="0" quotePrefix="0" xfId="0"/>
    <xf numFmtId="0" fontId="5" fillId="0" borderId="1" pivotButton="0" quotePrefix="0" xfId="0"/>
    <xf numFmtId="164" fontId="5" fillId="6" borderId="1" pivotButton="0" quotePrefix="0" xfId="0"/>
    <xf numFmtId="1" fontId="4" fillId="0" borderId="1" pivotButton="0" quotePrefix="0" xfId="0"/>
    <xf numFmtId="0" fontId="5" fillId="6" borderId="1" pivotButton="0" quotePrefix="0" xfId="0"/>
    <xf numFmtId="168" fontId="5" fillId="5" borderId="1" pivotButton="0" quotePrefix="0" xfId="0"/>
    <xf numFmtId="0" fontId="2" fillId="0" borderId="0" applyAlignment="1" pivotButton="0" quotePrefix="0" xfId="0">
      <alignment horizontal="center"/>
    </xf>
    <xf numFmtId="0" fontId="0" fillId="0" borderId="0" pivotButton="0" quotePrefix="0" xfId="0"/>
    <xf numFmtId="0" fontId="2" fillId="0" borderId="0" pivotButton="0" quotePrefix="0" xfId="0"/>
    <xf numFmtId="0" fontId="3" fillId="3" borderId="0" pivotButton="0" quotePrefix="0" xfId="0"/>
    <xf numFmtId="0" fontId="2" fillId="0" borderId="1" pivotButton="0" quotePrefix="0" xfId="0"/>
    <xf numFmtId="0" fontId="0" fillId="0" borderId="2" pivotButton="0" quotePrefix="0" xfId="0"/>
    <xf numFmtId="0" fontId="0" fillId="0" borderId="3" pivotButton="0" quotePrefix="0" xfId="0"/>
    <xf numFmtId="0" fontId="1" fillId="2" borderId="0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/>
    </xf>
    <xf numFmtId="0" fontId="5" fillId="3" borderId="0" pivotButton="0" quotePrefix="0" xfId="0"/>
    <xf numFmtId="0" fontId="6" fillId="0" borderId="0" pivotButton="0" quotePrefix="0" xfId="0"/>
    <xf numFmtId="0" fontId="5" fillId="3" borderId="1" pivotButton="0" quotePrefix="0" xfId="0"/>
    <xf numFmtId="0" fontId="6" fillId="0" borderId="2" pivotButton="0" quotePrefix="0" xfId="0"/>
    <xf numFmtId="0" fontId="6" fillId="0" borderId="3" pivotButton="0" quotePrefix="0" xfId="0"/>
    <xf numFmtId="0" fontId="5" fillId="5" borderId="1" pivotButton="0" quotePrefix="0" xfId="0"/>
    <xf numFmtId="0" fontId="7" fillId="0" borderId="0" pivotButton="0" quotePrefix="0" xfId="0"/>
    <xf numFmtId="0" fontId="8" fillId="0" borderId="0" pivotButton="0" quotePrefix="0" xfId="0"/>
    <xf numFmtId="0" fontId="9" fillId="0" borderId="0" pivotButton="0" quotePrefix="0" xfId="0"/>
    <xf numFmtId="169" fontId="0" fillId="7" borderId="0" pivotButton="0" quotePrefix="0" xfId="0"/>
    <xf numFmtId="9" fontId="0" fillId="7" borderId="0" pivotButton="0" quotePrefix="0" xfId="0"/>
    <xf numFmtId="0" fontId="0" fillId="7" borderId="0" pivotButton="0" quotePrefix="0" xfId="0"/>
    <xf numFmtId="169" fontId="0" fillId="8" borderId="0" pivotButton="0" quotePrefix="0" xfId="0"/>
    <xf numFmtId="1" fontId="0" fillId="0" borderId="0" pivotButton="0" quotePrefix="0" xfId="0"/>
    <xf numFmtId="1" fontId="9" fillId="4" borderId="0" pivotButton="0" quotePrefix="0" xfId="0"/>
    <xf numFmtId="164" fontId="9" fillId="5" borderId="0" pivotButton="0" quotePrefix="0" xfId="0"/>
    <xf numFmtId="164" fontId="9" fillId="6" borderId="1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6"/>
  <sheetViews>
    <sheetView showGridLines="0" tabSelected="1" topLeftCell="A13" workbookViewId="0">
      <selection activeCell="B33" sqref="B33"/>
    </sheetView>
  </sheetViews>
  <sheetFormatPr baseColWidth="10" defaultColWidth="8.88671875" defaultRowHeight="14.4"/>
  <cols>
    <col width="34" customWidth="1" style="17" min="1" max="1"/>
    <col width="16" customWidth="1" style="17" min="2" max="2"/>
    <col width="14" customWidth="1" style="17" min="3" max="6"/>
  </cols>
  <sheetData>
    <row r="1" ht="25.95" customHeight="1" s="17">
      <c r="A1" s="23" t="inlineStr">
        <is>
          <t>MAYA — Unit Economics &amp; Pricing</t>
        </is>
      </c>
    </row>
    <row r="2">
      <c r="A2" s="16" t="inlineStr">
        <is>
          <t>Edite apenas as células amarelas (e o dropdown). Azul/verde = fórmulas, recalculam sozinhas. Valores em USD.</t>
        </is>
      </c>
    </row>
    <row r="4">
      <c r="A4" s="25" t="inlineStr">
        <is>
          <t>ENTRADAS — edite aqui</t>
        </is>
      </c>
    </row>
    <row r="5">
      <c r="A5" s="1" t="inlineStr">
        <is>
          <t>Preço mensal (USD)</t>
        </is>
      </c>
      <c r="B5" s="2" t="n">
        <v>9.99</v>
      </c>
    </row>
    <row r="6">
      <c r="A6" s="1" t="inlineStr">
        <is>
          <t>Preço anual (USD)</t>
        </is>
      </c>
      <c r="B6" s="2" t="n">
        <v>83.98999999999999</v>
      </c>
    </row>
    <row r="7">
      <c r="A7" s="1" t="inlineStr">
        <is>
          <t>Dias de trial grátis</t>
        </is>
      </c>
      <c r="B7" s="3" t="n">
        <v>7</v>
      </c>
    </row>
    <row r="8">
      <c r="A8" s="1" t="inlineStr">
        <is>
          <t>Canal de cobrança</t>
        </is>
      </c>
      <c r="B8" s="4" t="inlineStr">
        <is>
          <t>Web (Stripe)</t>
        </is>
      </c>
    </row>
    <row r="9">
      <c r="A9" s="1" t="inlineStr">
        <is>
          <t>Taxa de pagamento (%)</t>
        </is>
      </c>
      <c r="B9" s="5">
        <f>IF(B8="Web (Stripe)",0.029,IF(B8="App Store/Play - 30%",0.3,0.15))</f>
        <v/>
      </c>
    </row>
    <row r="10">
      <c r="A10" s="1" t="inlineStr">
        <is>
          <t>Taxa fixa por cobrança (USD)</t>
        </is>
      </c>
      <c r="B10" s="6">
        <f>IF(B8="Web (Stripe)",0.3,0)</f>
        <v/>
      </c>
    </row>
    <row r="11">
      <c r="A11" s="1" t="inlineStr">
        <is>
          <t>Churn mensal (%)</t>
        </is>
      </c>
      <c r="B11" s="7" t="n">
        <v>0.1</v>
      </c>
    </row>
    <row r="12">
      <c r="A12" s="1" t="inlineStr">
        <is>
          <t>Custo IA / usuário / mês (USD)</t>
        </is>
      </c>
      <c r="B12" s="6">
        <f>Custos!B22</f>
        <v/>
      </c>
    </row>
    <row r="13">
      <c r="A13" s="1" t="inlineStr">
        <is>
          <t>Custo infra / usuário / mês (USD)</t>
        </is>
      </c>
      <c r="B13" s="6">
        <f>Custos!B23</f>
        <v/>
      </c>
    </row>
    <row r="14">
      <c r="A14" s="1" t="inlineStr">
        <is>
          <t>CPI — custo por instalação (USD)</t>
        </is>
      </c>
      <c r="B14" s="2" t="n">
        <v>2</v>
      </c>
    </row>
    <row r="15">
      <c r="A15" s="1" t="inlineStr">
        <is>
          <t>Conversão signup → assinante (%)</t>
        </is>
      </c>
      <c r="B15" s="7" t="n">
        <v>0.1</v>
      </c>
    </row>
    <row r="16">
      <c r="A16" s="18" t="inlineStr">
        <is>
          <t>Web (Stripe) = 2,9% + US$0,30  •  Loja 30% = padrão Apple 1º ano  •  Loja 15% = Google assinatura / Apple Small Business (&lt;US$1M) / 2º ano. No app nativo a loja SUBSTITUI o Stripe.</t>
        </is>
      </c>
    </row>
    <row r="17">
      <c r="A17" s="25" t="inlineStr">
        <is>
          <t>RESULTADOS</t>
        </is>
      </c>
    </row>
    <row r="18">
      <c r="A18" s="1" t="inlineStr">
        <is>
          <t>Lucro bruto mensal (USD)</t>
        </is>
      </c>
      <c r="B18" s="6">
        <f>B5*(1-B9)-B10-B12-B13</f>
        <v/>
      </c>
    </row>
    <row r="19">
      <c r="A19" s="1" t="inlineStr">
        <is>
          <t>Margem bruta mensal (%)</t>
        </is>
      </c>
      <c r="B19" s="5">
        <f>B18/B5</f>
        <v/>
      </c>
    </row>
    <row r="20">
      <c r="A20" s="1" t="inlineStr">
        <is>
          <t>Lucro bruto anual (USD)</t>
        </is>
      </c>
      <c r="B20" s="6">
        <f>B6*(1-B9)-B10-(B12+B13)*12</f>
        <v/>
      </c>
    </row>
    <row r="21">
      <c r="A21" s="1" t="inlineStr">
        <is>
          <t>Margem bruta anual (%)</t>
        </is>
      </c>
      <c r="B21" s="5">
        <f>B20/B6</f>
        <v/>
      </c>
    </row>
    <row r="22">
      <c r="A22" s="1" t="inlineStr">
        <is>
          <t>LTV — lucro bruto (USD)</t>
        </is>
      </c>
      <c r="B22" s="6">
        <f>B18/B11</f>
        <v/>
      </c>
    </row>
    <row r="23">
      <c r="A23" s="1" t="inlineStr">
        <is>
          <t>CAC real (USD)</t>
        </is>
      </c>
      <c r="B23" s="6">
        <f>B14/B15</f>
        <v/>
      </c>
    </row>
    <row r="24">
      <c r="A24" s="1" t="inlineStr">
        <is>
          <t>LTV : CAC</t>
        </is>
      </c>
      <c r="B24" s="8">
        <f>B22/B23</f>
        <v/>
      </c>
    </row>
    <row r="25">
      <c r="A25" s="1" t="inlineStr">
        <is>
          <t>Payback (meses)</t>
        </is>
      </c>
      <c r="B25" s="9">
        <f>B23/B18</f>
        <v/>
      </c>
    </row>
    <row r="26">
      <c r="A26" s="20" t="inlineStr">
        <is>
          <t>LTV:CAC ≥ 3x é o saudável. Mesmo a 30% de taxa de loja o app segue lucrativo (2,3x); a 15% fica em ~3x.</t>
        </is>
      </c>
      <c r="B26" s="21" t="n"/>
      <c r="C26" s="21" t="n"/>
      <c r="D26" s="21" t="n"/>
      <c r="E26" s="21" t="n"/>
      <c r="F26" s="22" t="n"/>
    </row>
    <row r="28">
      <c r="A28" s="25" t="inlineStr">
        <is>
          <t>LUCRO LÍQUIDO (visão do negócio — preencha suas despesas)</t>
        </is>
      </c>
    </row>
    <row r="29">
      <c r="A29" s="1" t="inlineStr">
        <is>
          <t>Assinantes ativos</t>
        </is>
      </c>
      <c r="B29" s="3" t="n">
        <v>100</v>
      </c>
    </row>
    <row r="30">
      <c r="A30" s="1" t="inlineStr">
        <is>
          <t>Despesas fixas/mês (USD)</t>
        </is>
      </c>
      <c r="B30" s="2" t="n">
        <v>200</v>
      </c>
    </row>
    <row r="31">
      <c r="A31" s="1" t="inlineStr">
        <is>
          <t>Verba de anúncios/mês (USD)</t>
        </is>
      </c>
      <c r="B31" s="2" t="n">
        <v>0</v>
      </c>
    </row>
    <row r="32">
      <c r="A32" s="1" t="inlineStr">
        <is>
          <t>Receita bruta/mês (USD)</t>
        </is>
      </c>
      <c r="B32" s="6">
        <f>B29*B5</f>
        <v/>
      </c>
    </row>
    <row r="33">
      <c r="A33" s="1" t="inlineStr">
        <is>
          <t>Lucro bruto total/mês (USD)</t>
        </is>
      </c>
      <c r="B33" s="6">
        <f>B29*B18</f>
        <v/>
      </c>
    </row>
    <row r="34">
      <c r="A34" s="11" t="inlineStr">
        <is>
          <t>Lucro LÍQUIDO/mês (USD)</t>
        </is>
      </c>
      <c r="B34" s="12">
        <f>B33-B30-B31</f>
        <v/>
      </c>
    </row>
    <row r="35">
      <c r="A35" s="1" t="inlineStr">
        <is>
          <t>Margem líquida (%)</t>
        </is>
      </c>
      <c r="B35" s="5">
        <f>B34/B32</f>
        <v/>
      </c>
    </row>
    <row r="36">
      <c r="A36" s="20" t="inlineStr">
        <is>
          <t>Lucro bruto = sobra por usuário após IA+infra+taxa. Líquido = bruto total − despesas fixas − anúncios. No começo o líquido pode ficar negativo (você compra crescimento); o equilíbrio vem com escala.</t>
        </is>
      </c>
      <c r="B36" s="21" t="n"/>
      <c r="C36" s="21" t="n"/>
      <c r="D36" s="21" t="n"/>
      <c r="E36" s="21" t="n"/>
      <c r="F36" s="22" t="n"/>
    </row>
  </sheetData>
  <mergeCells count="8">
    <mergeCell ref="A2:F2"/>
    <mergeCell ref="A16:F16"/>
    <mergeCell ref="A28:F28"/>
    <mergeCell ref="A36:F36"/>
    <mergeCell ref="A1:F1"/>
    <mergeCell ref="A17:F17"/>
    <mergeCell ref="A4:F4"/>
    <mergeCell ref="A26:F26"/>
  </mergeCells>
  <dataValidations count="1">
    <dataValidation sqref="B8" showDropDown="0" showInputMessage="0" showErrorMessage="0" allowBlank="1" error="Escolha uma das opções da lista" prompt="Escolha o canal de cobrança" type="list">
      <formula1>"Web (Stripe),App Store/Play - 30%,App Store/Play - 15%"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6"/>
  <sheetViews>
    <sheetView showGridLines="0" workbookViewId="0">
      <selection activeCell="F21" sqref="F21"/>
    </sheetView>
  </sheetViews>
  <sheetFormatPr baseColWidth="10" defaultColWidth="8.88671875" defaultRowHeight="14.4"/>
  <cols>
    <col width="46.109375" bestFit="1" customWidth="1" style="17" min="1" max="1"/>
    <col width="12" customWidth="1" style="17" min="2" max="4"/>
    <col width="14" customWidth="1" style="17" min="5" max="5"/>
    <col width="18" customWidth="1" style="17" min="6" max="6"/>
    <col width="44" customWidth="1" style="17" min="7" max="7"/>
  </cols>
  <sheetData>
    <row r="1" ht="18" customHeight="1" s="17">
      <c r="A1" s="24" t="inlineStr">
        <is>
          <t>Custo de IA por usuário ativo (mensal)</t>
        </is>
      </c>
    </row>
    <row r="2">
      <c r="A2" s="18" t="inlineStr">
        <is>
          <t>Modelos: Haiku 4.5 = $1/M in / $5/M out  •  Sonnet 5 = $3/M in / $15/M out (tarifa padrão, após 31/08/2026).  •  Voz: ElevenLabs Turbo v2.5 = US$0,05/1k chars  •  Deepgram Nova-3 = US$0,0077/min (streaming).</t>
        </is>
      </c>
    </row>
    <row r="4">
      <c r="A4" s="27" t="inlineStr">
        <is>
          <t>Preço por milhão de tokens (USD)</t>
        </is>
      </c>
      <c r="B4" s="21" t="n"/>
      <c r="C4" s="21" t="n"/>
      <c r="D4" s="21" t="n"/>
      <c r="E4" s="21" t="n"/>
      <c r="F4" s="21" t="n"/>
      <c r="G4" s="22" t="n"/>
    </row>
    <row r="5">
      <c r="A5" s="30" t="inlineStr">
        <is>
          <t>Modelo</t>
        </is>
      </c>
      <c r="B5" s="30" t="inlineStr">
        <is>
          <t>Input/M</t>
        </is>
      </c>
      <c r="C5" s="30" t="inlineStr">
        <is>
          <t>Output/M</t>
        </is>
      </c>
    </row>
    <row r="6">
      <c r="A6" s="4" t="inlineStr">
        <is>
          <t>Haiku 4.5</t>
        </is>
      </c>
      <c r="B6" s="2" t="n">
        <v>1</v>
      </c>
      <c r="C6" s="2" t="n">
        <v>5</v>
      </c>
    </row>
    <row r="7">
      <c r="A7" s="4" t="inlineStr">
        <is>
          <t>Sonnet 5</t>
        </is>
      </c>
      <c r="B7" s="2" t="n">
        <v>3</v>
      </c>
      <c r="C7" s="2" t="n">
        <v>15</v>
      </c>
    </row>
    <row r="9">
      <c r="A9" s="30" t="inlineStr">
        <is>
          <t>Chamada LLM</t>
        </is>
      </c>
      <c r="B9" s="30" t="inlineStr">
        <is>
          <t>Modelo</t>
        </is>
      </c>
      <c r="C9" s="30" t="inlineStr">
        <is>
          <t>Tokens in</t>
        </is>
      </c>
      <c r="D9" s="30" t="inlineStr">
        <is>
          <t>Tokens out</t>
        </is>
      </c>
      <c r="E9" s="30" t="inlineStr">
        <is>
          <t>Chamadas/mês</t>
        </is>
      </c>
      <c r="F9" s="30" t="inlineStr">
        <is>
          <t>Custo/mês (USD)</t>
        </is>
      </c>
      <c r="G9" s="30" t="inlineStr">
        <is>
          <t>Nota</t>
        </is>
      </c>
    </row>
    <row r="10">
      <c r="A10" s="1" t="inlineStr">
        <is>
          <t>Especialistas (8x batch)</t>
        </is>
      </c>
      <c r="B10" s="1" t="inlineStr">
        <is>
          <t>Haiku 4.5</t>
        </is>
      </c>
      <c r="C10" s="13" t="n">
        <v>3000</v>
      </c>
      <c r="D10" s="13" t="n">
        <v>350</v>
      </c>
      <c r="E10" s="3" t="n">
        <v>240</v>
      </c>
      <c r="F10" s="6">
        <f>E10*(C10/1000000*VLOOKUP(B10,$A$6:$C$7,2,0)+D10/1000000*VLOOKUP(B10,$A$6:$C$7,3,0))</f>
        <v/>
      </c>
      <c r="G10" s="20" t="inlineStr">
        <is>
          <t>Dispara a cada check-in (8 esp. × ~30 check-ins)</t>
        </is>
      </c>
    </row>
    <row r="11">
      <c r="A11" s="1" t="inlineStr">
        <is>
          <t>Mensagem da home</t>
        </is>
      </c>
      <c r="B11" s="1" t="inlineStr">
        <is>
          <t>Haiku 4.5</t>
        </is>
      </c>
      <c r="C11" s="13" t="n">
        <v>3000</v>
      </c>
      <c r="D11" s="13" t="n">
        <v>150</v>
      </c>
      <c r="E11" s="3" t="n">
        <v>30</v>
      </c>
      <c r="F11" s="6">
        <f>E11*(C11/1000000*VLOOKUP(B11,$A$6:$C$7,2,0)+D11/1000000*VLOOKUP(B11,$A$6:$C$7,3,0))</f>
        <v/>
      </c>
      <c r="G11" s="20" t="inlineStr">
        <is>
          <t>Cache 1x/dia</t>
        </is>
      </c>
    </row>
    <row r="12">
      <c r="A12" s="1" t="inlineStr">
        <is>
          <t>Nudge</t>
        </is>
      </c>
      <c r="B12" s="1" t="inlineStr">
        <is>
          <t>Haiku 4.5</t>
        </is>
      </c>
      <c r="C12" s="13" t="n">
        <v>3000</v>
      </c>
      <c r="D12" s="13" t="n">
        <v>120</v>
      </c>
      <c r="E12" s="3" t="n">
        <v>15</v>
      </c>
      <c r="F12" s="6">
        <f>E12*(C12/1000000*VLOOKUP(B12,$A$6:$C$7,2,0)+D12/1000000*VLOOKUP(B12,$A$6:$C$7,3,0))</f>
        <v/>
      </c>
      <c r="G12" s="20" t="inlineStr">
        <is>
          <t>Cache/dia; pula se já conversou</t>
        </is>
      </c>
    </row>
    <row r="13">
      <c r="A13" s="1" t="inlineStr">
        <is>
          <t>Chat Maya</t>
        </is>
      </c>
      <c r="B13" s="1" t="inlineStr">
        <is>
          <t>Haiku 4.5</t>
        </is>
      </c>
      <c r="C13" s="13" t="n">
        <v>3000</v>
      </c>
      <c r="D13" s="13" t="n">
        <v>400</v>
      </c>
      <c r="E13" s="3" t="n">
        <v>60</v>
      </c>
      <c r="F13" s="6">
        <f>E13*(C13/1000000*VLOOKUP(B13,$A$6:$C$7,2,0)+D13/1000000*VLOOKUP(B13,$A$6:$C$7,3,0))</f>
        <v/>
      </c>
      <c r="G13" s="20" t="inlineStr">
        <is>
          <t>Por mensagem enviada</t>
        </is>
      </c>
    </row>
    <row r="14">
      <c r="A14" s="1" t="inlineStr">
        <is>
          <t>Extração de fatos (chat)</t>
        </is>
      </c>
      <c r="B14" s="1" t="inlineStr">
        <is>
          <t>Haiku 4.5</t>
        </is>
      </c>
      <c r="C14" s="13" t="n">
        <v>1000</v>
      </c>
      <c r="D14" s="13" t="n">
        <v>150</v>
      </c>
      <c r="E14" s="3" t="n">
        <v>60</v>
      </c>
      <c r="F14" s="6">
        <f>E14*(C14/1000000*VLOOKUP(B14,$A$6:$C$7,2,0)+D14/1000000*VLOOKUP(B14,$A$6:$C$7,3,0))</f>
        <v/>
      </c>
      <c r="G14" s="20" t="inlineStr">
        <is>
          <t>Fire-and-forget por mensagem</t>
        </is>
      </c>
    </row>
    <row r="15">
      <c r="A15" s="1" t="inlineStr">
        <is>
          <t>Foto de refeição</t>
        </is>
      </c>
      <c r="B15" s="1" t="inlineStr">
        <is>
          <t>Sonnet 5</t>
        </is>
      </c>
      <c r="C15" s="13" t="n">
        <v>1500</v>
      </c>
      <c r="D15" s="13" t="n">
        <v>2000</v>
      </c>
      <c r="E15" s="3" t="n">
        <v>12</v>
      </c>
      <c r="F15" s="6">
        <f>E15*(C15/1000000*VLOOKUP(B15,$A$6:$C$7,2,0)+D15/1000000*VLOOKUP(B15,$A$6:$C$7,3,0))</f>
        <v/>
      </c>
      <c r="G15" s="20" t="inlineStr">
        <is>
          <t>Visão; resolução maior</t>
        </is>
      </c>
    </row>
    <row r="16">
      <c r="A16" s="1" t="inlineStr">
        <is>
          <t>Recibo (finanças)</t>
        </is>
      </c>
      <c r="B16" s="1" t="inlineStr">
        <is>
          <t>Haiku 4.5</t>
        </is>
      </c>
      <c r="C16" s="13" t="n">
        <v>1500</v>
      </c>
      <c r="D16" s="13" t="n">
        <v>1200</v>
      </c>
      <c r="E16" s="3" t="n">
        <v>4</v>
      </c>
      <c r="F16" s="6">
        <f>E16*(C16/1000000*VLOOKUP(B16,$A$6:$C$7,2,0)+D16/1000000*VLOOKUP(B16,$A$6:$C$7,3,0))</f>
        <v/>
      </c>
      <c r="G16" s="20" t="inlineStr">
        <is>
          <t>Visão</t>
        </is>
      </c>
    </row>
    <row r="17">
      <c r="A17" s="1" t="inlineStr">
        <is>
          <t>Chats nutrição/metas/plano</t>
        </is>
      </c>
      <c r="B17" s="1" t="inlineStr">
        <is>
          <t>Haiku 4.5</t>
        </is>
      </c>
      <c r="C17" s="13" t="n">
        <v>2000</v>
      </c>
      <c r="D17" s="13" t="n">
        <v>500</v>
      </c>
      <c r="E17" s="3" t="n">
        <v>15</v>
      </c>
      <c r="F17" s="6">
        <f>E17*(C17/1000000*VLOOKUP(B17,$A$6:$C$7,2,0)+D17/1000000*VLOOKUP(B17,$A$6:$C$7,3,0))</f>
        <v/>
      </c>
      <c r="G17" s="20" t="inlineStr">
        <is>
          <t>Sob demanda</t>
        </is>
      </c>
    </row>
    <row r="18">
      <c r="A18" s="1" t="inlineStr">
        <is>
          <t>Reflexão semanal</t>
        </is>
      </c>
      <c r="B18" s="1" t="inlineStr">
        <is>
          <t>Haiku 4.5</t>
        </is>
      </c>
      <c r="C18" s="13" t="n">
        <v>2500</v>
      </c>
      <c r="D18" s="13" t="n">
        <v>600</v>
      </c>
      <c r="E18" s="3" t="n">
        <v>4</v>
      </c>
      <c r="F18" s="6">
        <f>E18*(C18/1000000*VLOOKUP(B18,$A$6:$C$7,2,0)+D18/1000000*VLOOKUP(B18,$A$6:$C$7,3,0))</f>
        <v/>
      </c>
      <c r="G18" s="20" t="inlineStr">
        <is>
          <t>1x/semana</t>
        </is>
      </c>
    </row>
    <row r="19">
      <c r="A19" s="1" t="inlineStr">
        <is>
          <t>Reflexão mensal</t>
        </is>
      </c>
      <c r="B19" s="1" t="inlineStr">
        <is>
          <t>Haiku 4.5</t>
        </is>
      </c>
      <c r="C19" s="13" t="n">
        <v>3000</v>
      </c>
      <c r="D19" s="13" t="n">
        <v>500</v>
      </c>
      <c r="E19" s="3" t="n">
        <v>1</v>
      </c>
      <c r="F19" s="6">
        <f>E19*(C19/1000000*VLOOKUP(B19,$A$6:$C$7,2,0)+D19/1000000*VLOOKUP(B19,$A$6:$C$7,3,0))</f>
        <v/>
      </c>
      <c r="G19" s="20" t="inlineStr">
        <is>
          <t>1x/mês</t>
        </is>
      </c>
    </row>
    <row r="20">
      <c r="A20" t="inlineStr">
        <is>
          <t>TTS — voz da Maya</t>
        </is>
      </c>
      <c r="B20" t="inlineStr">
        <is>
          <t>ElevenLabs Turbo v2.5</t>
        </is>
      </c>
      <c r="C20" s="38" t="n">
        <v>400</v>
      </c>
      <c r="E20" s="39" t="n">
        <v>40</v>
      </c>
      <c r="F20" s="40">
        <f>E20*C20/1000*0.05</f>
        <v/>
      </c>
      <c r="G20" t="inlineStr">
        <is>
          <t>US$0,05/1k chars; ~400 chars/resposta</t>
        </is>
      </c>
    </row>
    <row r="21">
      <c r="A21" t="inlineStr">
        <is>
          <t>STT — transcrição de voz</t>
        </is>
      </c>
      <c r="B21" t="inlineStr">
        <is>
          <t>Deepgram Nova-3</t>
        </is>
      </c>
      <c r="C21" s="38" t="n">
        <v>15</v>
      </c>
      <c r="E21" s="39" t="n">
        <v>40</v>
      </c>
      <c r="F21" s="40">
        <f>E21*C21/60*0.0077</f>
        <v/>
      </c>
      <c r="G21" t="inlineStr">
        <is>
          <t>US$0,0077/min (streaming); ~15s/áudio</t>
        </is>
      </c>
    </row>
    <row r="22">
      <c r="A22" s="14" t="inlineStr">
        <is>
          <t>TOTAL IA (LLM + voz) / usuário / mês (USD)</t>
        </is>
      </c>
      <c r="B22" s="41">
        <f>SUM(F10:F21)</f>
        <v/>
      </c>
    </row>
    <row r="23">
      <c r="A23" s="1" t="inlineStr">
        <is>
          <t>Infra fixa (Supabase/Vercel/Mapbox/push) / mês (USD)</t>
        </is>
      </c>
      <c r="B23" s="2" t="n">
        <v>0.1</v>
      </c>
    </row>
    <row r="24">
      <c r="A24" s="14" t="inlineStr">
        <is>
          <t>COGS TOTAL / usuário / mês (USD)</t>
        </is>
      </c>
      <c r="B24" s="41">
        <f>B22+B23</f>
        <v/>
      </c>
    </row>
    <row r="25"/>
    <row r="26">
      <c r="A26" s="20" t="inlineStr">
        <is>
          <t>Cenários (edite a coluna 'Chamadas/mês'): usuário casual ~US$0,50-1,50  •  médio ~US$2-3  •  power user ~US$5-8  •  voz adiciona ~US$0,50-1,00 (médio).</t>
        </is>
      </c>
      <c r="B26" s="21" t="n"/>
      <c r="C26" s="21" t="n"/>
      <c r="D26" s="21" t="n"/>
      <c r="E26" s="21" t="n"/>
      <c r="F26" s="21" t="n"/>
      <c r="G26" s="22" t="n"/>
    </row>
  </sheetData>
  <mergeCells count="4">
    <mergeCell ref="A2:G2"/>
    <mergeCell ref="A1:G1"/>
    <mergeCell ref="A25:G25"/>
    <mergeCell ref="A4:G4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3"/>
  <sheetViews>
    <sheetView showGridLines="0" workbookViewId="0">
      <selection activeCell="A1" sqref="A1"/>
    </sheetView>
  </sheetViews>
  <sheetFormatPr baseColWidth="10" defaultColWidth="8.88671875" defaultRowHeight="14.4"/>
  <cols>
    <col width="34" customWidth="1" style="17" min="1" max="1"/>
    <col width="16" customWidth="1" style="17" min="2" max="2"/>
    <col width="14" customWidth="1" style="17" min="3" max="6"/>
  </cols>
  <sheetData>
    <row r="1" ht="18" customHeight="1" s="17">
      <c r="A1" s="24" t="inlineStr">
        <is>
          <t>Tráfego pago — CAC, LTV e ROAS</t>
        </is>
      </c>
    </row>
    <row r="2">
      <c r="A2" s="18" t="inlineStr">
        <is>
          <t>Benchmarks Meta Ads 2026 (BR/CL). Ajuste as células amarelas.</t>
        </is>
      </c>
    </row>
    <row r="4">
      <c r="A4" s="19" t="inlineStr">
        <is>
          <t>FUNIL &amp; CAC</t>
        </is>
      </c>
    </row>
    <row r="5">
      <c r="A5" s="1" t="inlineStr">
        <is>
          <t>CPI — custo por instalação (USD)</t>
        </is>
      </c>
      <c r="B5" s="6">
        <f>Resumo!B14</f>
        <v/>
      </c>
    </row>
    <row r="6">
      <c r="A6" s="1" t="inlineStr">
        <is>
          <t>Conversão signup → assinante (%)</t>
        </is>
      </c>
      <c r="B6" s="5">
        <f>Resumo!B15</f>
        <v/>
      </c>
    </row>
    <row r="7">
      <c r="A7" s="1" t="inlineStr">
        <is>
          <t>CAC — custo por assinante (USD)</t>
        </is>
      </c>
      <c r="B7" s="6">
        <f>B5/B6</f>
        <v/>
      </c>
    </row>
    <row r="8">
      <c r="A8" s="1" t="inlineStr">
        <is>
          <t>Lucro bruto mensal (USD)</t>
        </is>
      </c>
      <c r="B8" s="6">
        <f>Resumo!B18</f>
        <v/>
      </c>
    </row>
    <row r="9">
      <c r="A9" s="1" t="inlineStr">
        <is>
          <t>Churn mensal (%)</t>
        </is>
      </c>
      <c r="B9" s="5">
        <f>Resumo!B11</f>
        <v/>
      </c>
    </row>
    <row r="10">
      <c r="A10" s="1" t="inlineStr">
        <is>
          <t>LTV — lucro bruto (USD)</t>
        </is>
      </c>
      <c r="B10" s="6">
        <f>B8/B9</f>
        <v/>
      </c>
    </row>
    <row r="11">
      <c r="A11" s="1" t="inlineStr">
        <is>
          <t>LTV : CAC</t>
        </is>
      </c>
      <c r="B11" s="8">
        <f>B10/B7</f>
        <v/>
      </c>
    </row>
    <row r="12">
      <c r="A12" s="1" t="inlineStr">
        <is>
          <t>Payback (meses)</t>
        </is>
      </c>
      <c r="B12" s="9">
        <f>B7/B8</f>
        <v/>
      </c>
    </row>
    <row r="14">
      <c r="A14" s="19" t="inlineStr">
        <is>
          <t>SIMULAÇÃO DE ORÇAMENTO</t>
        </is>
      </c>
    </row>
    <row r="15">
      <c r="A15" s="1" t="inlineStr">
        <is>
          <t>Orçamento diário (USD)</t>
        </is>
      </c>
      <c r="B15" s="2" t="n">
        <v>30</v>
      </c>
    </row>
    <row r="16">
      <c r="A16" s="1" t="inlineStr">
        <is>
          <t>Instalações / dia</t>
        </is>
      </c>
      <c r="B16" s="15">
        <f>B15/B5</f>
        <v/>
      </c>
    </row>
    <row r="17">
      <c r="A17" s="1" t="inlineStr">
        <is>
          <t>Assinantes / dia</t>
        </is>
      </c>
      <c r="B17" s="15">
        <f>B16*B6</f>
        <v/>
      </c>
    </row>
    <row r="18">
      <c r="A18" s="1" t="inlineStr">
        <is>
          <t>Assinantes / mês</t>
        </is>
      </c>
      <c r="B18" s="15">
        <f>B17*30</f>
        <v/>
      </c>
    </row>
    <row r="19">
      <c r="A19" s="1" t="inlineStr">
        <is>
          <t>Gasto total / mês (USD)</t>
        </is>
      </c>
      <c r="B19" s="6">
        <f>B15*30</f>
        <v/>
      </c>
    </row>
    <row r="20">
      <c r="A20" s="1" t="inlineStr">
        <is>
          <t>Receita bruta nova / mês (USD)</t>
        </is>
      </c>
      <c r="B20" s="6">
        <f>B18*Resumo!B5</f>
        <v/>
      </c>
    </row>
    <row r="21">
      <c r="A21" s="1" t="inlineStr">
        <is>
          <t>ROAS do 1º mês</t>
        </is>
      </c>
      <c r="B21" s="8">
        <f>B20/B19</f>
        <v/>
      </c>
    </row>
    <row r="23">
      <c r="A23" s="20" t="inlineStr">
        <is>
          <t>Recomendação: começar com US$20-30/dia, 2-4 criativos (BR e CL separados). Escalar só os conjuntos com CAC ≤ US$20.</t>
        </is>
      </c>
      <c r="B23" s="21" t="n"/>
      <c r="C23" s="21" t="n"/>
      <c r="D23" s="21" t="n"/>
      <c r="E23" s="21" t="n"/>
      <c r="F23" s="22" t="n"/>
    </row>
  </sheetData>
  <mergeCells count="5">
    <mergeCell ref="A2:F2"/>
    <mergeCell ref="A14:F14"/>
    <mergeCell ref="A1:F1"/>
    <mergeCell ref="A23:F23"/>
    <mergeCell ref="A4:F4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cols>
    <col width="44" customWidth="1" style="17" min="1" max="1"/>
    <col width="18" customWidth="1" style="17" min="2" max="2"/>
    <col width="18" customWidth="1" style="17" min="3" max="3"/>
    <col width="18" customWidth="1" style="17" min="4" max="4"/>
  </cols>
  <sheetData>
    <row r="1">
      <c r="A1" s="31" t="inlineStr">
        <is>
          <t>SOCIEDADE — Maya (Letierre &amp; Weliton)</t>
        </is>
      </c>
    </row>
    <row r="2">
      <c r="A2" s="32" t="inlineStr">
        <is>
          <t>Valores em R$ (BRL). Edite as células amarelas. Verde = fórmulas (recalculam sozinhas).</t>
        </is>
      </c>
    </row>
    <row r="3">
      <c r="A3" s="32" t="inlineStr">
        <is>
          <t>Regra: Weliton recebe 25% da receita bruta de até 100 assinantes ativos simultâneos; Letierre fica com o restante (75% dos 100 + 100% do que passar de 100).</t>
        </is>
      </c>
    </row>
    <row r="5">
      <c r="A5" s="33" t="inlineStr">
        <is>
          <t>ENTRADAS — edite aqui</t>
        </is>
      </c>
    </row>
    <row r="6">
      <c r="A6" t="inlineStr">
        <is>
          <t>Preço mensal (R$)</t>
        </is>
      </c>
      <c r="B6" s="34" t="n">
        <v>49.9</v>
      </c>
    </row>
    <row r="7">
      <c r="A7" t="inlineStr">
        <is>
          <t>Preço anual (R$)</t>
        </is>
      </c>
      <c r="B7" s="34" t="n">
        <v>399.9</v>
      </c>
    </row>
    <row r="8">
      <c r="A8" t="inlineStr">
        <is>
          <t>% de assinantes mensais (resto = anual)</t>
        </is>
      </c>
      <c r="B8" s="35" t="n">
        <v>0.8</v>
      </c>
    </row>
    <row r="9">
      <c r="A9" t="inlineStr">
        <is>
          <t>% do Weliton</t>
        </is>
      </c>
      <c r="B9" s="35" t="n">
        <v>0.25</v>
      </c>
    </row>
    <row r="10">
      <c r="A10" t="inlineStr">
        <is>
          <t>Teto de assinantes simultâneos</t>
        </is>
      </c>
      <c r="B10" s="36" t="n">
        <v>100</v>
      </c>
    </row>
    <row r="11">
      <c r="A11" t="inlineStr">
        <is>
          <t>Assinantes ativos agora</t>
        </is>
      </c>
      <c r="B11" s="36" t="n">
        <v>0</v>
      </c>
    </row>
    <row r="13">
      <c r="A13" s="33" t="inlineStr">
        <is>
          <t>RESULTADO — mês atual</t>
        </is>
      </c>
    </row>
    <row r="14">
      <c r="A14" t="inlineStr">
        <is>
          <t>Preço médio / assinante / mês (R$)</t>
        </is>
      </c>
      <c r="B14" s="37">
        <f>B6*B8+B7/12*(1-B8)</f>
        <v/>
      </c>
    </row>
    <row r="15">
      <c r="A15" t="inlineStr">
        <is>
          <t>Receita mensal dos ativos (R$)</t>
        </is>
      </c>
      <c r="B15" s="37">
        <f>B11*B14</f>
        <v/>
      </c>
    </row>
    <row r="16">
      <c r="A16" t="inlineStr">
        <is>
          <t>Receita dentro do teto (até 100)</t>
        </is>
      </c>
      <c r="B16" s="37">
        <f>MIN(B11,B10)*B14</f>
        <v/>
      </c>
    </row>
    <row r="17">
      <c r="A17" t="inlineStr">
        <is>
          <t>Weliton recebe / mês (R$)</t>
        </is>
      </c>
      <c r="B17" s="37">
        <f>B9*B16</f>
        <v/>
      </c>
    </row>
    <row r="18">
      <c r="A18" t="inlineStr">
        <is>
          <t>Letierre recebe / mês (R$)</t>
        </is>
      </c>
      <c r="B18" s="37">
        <f>B15-B17</f>
        <v/>
      </c>
    </row>
    <row r="20">
      <c r="A20" s="33" t="inlineStr">
        <is>
          <t>CENÁRIOS — por nº de assinantes ativos simultâneos</t>
        </is>
      </c>
    </row>
    <row r="21">
      <c r="A21" s="33" t="inlineStr">
        <is>
          <t>Assinantes</t>
        </is>
      </c>
      <c r="B21" s="33" t="inlineStr">
        <is>
          <t>Receita total (R$)</t>
        </is>
      </c>
      <c r="C21" s="33" t="inlineStr">
        <is>
          <t>Weliton (R$)</t>
        </is>
      </c>
      <c r="D21" s="33" t="inlineStr">
        <is>
          <t>Letierre (R$)</t>
        </is>
      </c>
    </row>
    <row r="22">
      <c r="A22" t="n">
        <v>50</v>
      </c>
      <c r="B22" s="37">
        <f>A22*$B$14</f>
        <v/>
      </c>
      <c r="C22" s="37">
        <f>$B$9*MIN(A22,$B$10)*$B$14</f>
        <v/>
      </c>
      <c r="D22" s="37">
        <f>B22-C22</f>
        <v/>
      </c>
    </row>
    <row r="23">
      <c r="A23" t="n">
        <v>100</v>
      </c>
      <c r="B23" s="37">
        <f>A23*$B$14</f>
        <v/>
      </c>
      <c r="C23" s="37">
        <f>$B$9*MIN(A23,$B$10)*$B$14</f>
        <v/>
      </c>
      <c r="D23" s="37">
        <f>B23-C23</f>
        <v/>
      </c>
    </row>
    <row r="24">
      <c r="A24" t="n">
        <v>150</v>
      </c>
      <c r="B24" s="37">
        <f>A24*$B$14</f>
        <v/>
      </c>
      <c r="C24" s="37">
        <f>$B$9*MIN(A24,$B$10)*$B$14</f>
        <v/>
      </c>
      <c r="D24" s="37">
        <f>B24-C24</f>
        <v/>
      </c>
    </row>
    <row r="25">
      <c r="A25" t="n">
        <v>300</v>
      </c>
      <c r="B25" s="37">
        <f>A25*$B$14</f>
        <v/>
      </c>
      <c r="C25" s="37">
        <f>$B$9*MIN(A25,$B$10)*$B$14</f>
        <v/>
      </c>
      <c r="D25" s="37">
        <f>B25-C25</f>
        <v/>
      </c>
    </row>
    <row r="26">
      <c r="A26" s="32" t="inlineStr">
        <is>
          <t>Acima de 100 ativos, o Weliton fica constante e todo o excedente vai para o Letierre.</t>
        </is>
      </c>
    </row>
    <row r="27">
      <c r="A27" s="32" t="inlineStr">
        <is>
          <t>Teto de 12 meses por assinante: mensal = 25% por até 12 parcelas; anual = 25% do pagamento único (renovação do 2º ano não conta).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2026-08-26T16:46:42Z</dcterms:created>
  <dcterms:modified xsi:type="dcterms:W3CDTF">2026-10-26T16:06:36Z</dcterms:modified>
  <cp:lastModifiedBy>Letierre Ferraz Rodrigues</cp:lastModifiedBy>
</cp:coreProperties>
</file>